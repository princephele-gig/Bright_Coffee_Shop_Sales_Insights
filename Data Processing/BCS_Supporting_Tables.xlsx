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1bf9fc04b796efb/Documents/Prince Folders and Working Papers/BrightLearn - SQL/Exercises SQL/Case Study/Excel Analysis Separator/"/>
    </mc:Choice>
  </mc:AlternateContent>
  <xr:revisionPtr revIDLastSave="0" documentId="8_{E71BE39F-D00A-401E-9BCC-F163B28C8C37}" xr6:coauthVersionLast="47" xr6:coauthVersionMax="47" xr10:uidLastSave="{00000000-0000-0000-0000-000000000000}"/>
  <bookViews>
    <workbookView xWindow="-120" yWindow="-120" windowWidth="20730" windowHeight="11040" xr2:uid="{0621F5E7-DCF6-4B3D-AE6B-FE8025CB5560}"/>
  </bookViews>
  <sheets>
    <sheet name="Supporting_Tabl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5" i="1" l="1"/>
  <c r="S4" i="1"/>
  <c r="S3" i="1"/>
  <c r="S6" i="1" s="1"/>
</calcChain>
</file>

<file path=xl/sharedStrings.xml><?xml version="1.0" encoding="utf-8"?>
<sst xmlns="http://schemas.openxmlformats.org/spreadsheetml/2006/main" count="60" uniqueCount="38">
  <si>
    <t>Store</t>
  </si>
  <si>
    <t>Astoria</t>
  </si>
  <si>
    <t>Hell's Kitchen</t>
  </si>
  <si>
    <t>Lower Manhattan</t>
  </si>
  <si>
    <t>Grand Total</t>
  </si>
  <si>
    <t>Month _Name</t>
  </si>
  <si>
    <t>Mon</t>
  </si>
  <si>
    <t>Tue</t>
  </si>
  <si>
    <t>Wed</t>
  </si>
  <si>
    <t>Thu</t>
  </si>
  <si>
    <t>Fri</t>
  </si>
  <si>
    <t>Sat</t>
  </si>
  <si>
    <t>Sun</t>
  </si>
  <si>
    <t>01. Morning Rush</t>
  </si>
  <si>
    <t>Jan</t>
  </si>
  <si>
    <t>Bright Coffee Stores</t>
  </si>
  <si>
    <t>PnL Revenue</t>
  </si>
  <si>
    <t>% Allcoation</t>
  </si>
  <si>
    <t>Time of Order</t>
  </si>
  <si>
    <t>Time Allocation</t>
  </si>
  <si>
    <t>Spending Buckets</t>
  </si>
  <si>
    <t>02. Mid Morning</t>
  </si>
  <si>
    <t>Feb</t>
  </si>
  <si>
    <t>5am -9am</t>
  </si>
  <si>
    <t>01. Low Spender</t>
  </si>
  <si>
    <t>03. Afternoon</t>
  </si>
  <si>
    <t>Mar</t>
  </si>
  <si>
    <t>9am -12pm</t>
  </si>
  <si>
    <t>02. Medium Spender</t>
  </si>
  <si>
    <t>04. Evening</t>
  </si>
  <si>
    <t>Apr</t>
  </si>
  <si>
    <t>12pm -3pm</t>
  </si>
  <si>
    <t>04. Blesser Spender</t>
  </si>
  <si>
    <t>05. Night</t>
  </si>
  <si>
    <t>May</t>
  </si>
  <si>
    <t>4pm -6pm</t>
  </si>
  <si>
    <t>Jun</t>
  </si>
  <si>
    <t>6pm - next_day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</si>
</sst>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_-;\-* #,##0_-;_-* &quot;-&quot;??_-;_-@_-"/>
  </numFmts>
  <fonts count="5" x14ac:knownFonts="1">
    <font>
      <sz val="11"/>
      <color indexed="8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indexed="8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 tint="0.249977111117893"/>
        <bgColor theme="4" tint="0.79998168889431442"/>
      </patternFill>
    </fill>
    <fill>
      <patternFill patternType="solid">
        <fgColor theme="4"/>
        <bgColor theme="4" tint="0.79998168889431442"/>
      </patternFill>
    </fill>
    <fill>
      <patternFill patternType="solid">
        <fgColor theme="1" tint="0.249977111117893"/>
        <bgColor theme="4" tint="0.79998168889431442"/>
      </patternFill>
    </fill>
    <fill>
      <patternFill patternType="solid">
        <fgColor theme="3" tint="0.749992370372631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3">
    <xf numFmtId="0" fontId="0" fillId="0" borderId="0"/>
    <xf numFmtId="9" fontId="4" fillId="0" borderId="0" applyFont="0" applyFill="0" applyBorder="0" applyAlignment="0" applyProtection="0"/>
    <xf numFmtId="0" fontId="1" fillId="2" borderId="0" applyNumberFormat="0" applyBorder="0" applyAlignment="0" applyProtection="0"/>
  </cellStyleXfs>
  <cellXfs count="21">
    <xf numFmtId="0" fontId="0" fillId="0" borderId="0" xfId="0"/>
    <xf numFmtId="0" fontId="3" fillId="3" borderId="1" xfId="0" applyFont="1" applyFill="1" applyBorder="1"/>
    <xf numFmtId="0" fontId="2" fillId="4" borderId="1" xfId="0" applyFont="1" applyFill="1" applyBorder="1"/>
    <xf numFmtId="0" fontId="2" fillId="4" borderId="1" xfId="0" applyFont="1" applyFill="1" applyBorder="1" applyAlignment="1">
      <alignment horizontal="left" vertical="center" indent="2"/>
    </xf>
    <xf numFmtId="0" fontId="0" fillId="0" borderId="0" xfId="0" applyAlignment="1">
      <alignment horizontal="left"/>
    </xf>
    <xf numFmtId="164" fontId="0" fillId="0" borderId="0" xfId="0" applyNumberFormat="1"/>
    <xf numFmtId="0" fontId="1" fillId="2" borderId="0" xfId="2" applyAlignment="1">
      <alignment horizontal="left"/>
    </xf>
    <xf numFmtId="164" fontId="1" fillId="2" borderId="0" xfId="2" applyNumberFormat="1"/>
    <xf numFmtId="0" fontId="2" fillId="4" borderId="1" xfId="0" applyFont="1" applyFill="1" applyBorder="1" applyAlignment="1">
      <alignment horizontal="right"/>
    </xf>
    <xf numFmtId="0" fontId="2" fillId="5" borderId="1" xfId="0" applyFont="1" applyFill="1" applyBorder="1"/>
    <xf numFmtId="9" fontId="0" fillId="0" borderId="0" xfId="1" applyFont="1"/>
    <xf numFmtId="164" fontId="0" fillId="0" borderId="0" xfId="0" applyNumberFormat="1" applyAlignment="1">
      <alignment horizontal="center"/>
    </xf>
    <xf numFmtId="0" fontId="2" fillId="4" borderId="2" xfId="0" applyFont="1" applyFill="1" applyBorder="1" applyAlignment="1">
      <alignment horizontal="left"/>
    </xf>
    <xf numFmtId="164" fontId="2" fillId="4" borderId="2" xfId="0" applyNumberFormat="1" applyFont="1" applyFill="1" applyBorder="1"/>
    <xf numFmtId="9" fontId="2" fillId="4" borderId="2" xfId="1" applyFont="1" applyFill="1" applyBorder="1"/>
    <xf numFmtId="0" fontId="2" fillId="6" borderId="2" xfId="0" applyFont="1" applyFill="1" applyBorder="1" applyAlignment="1">
      <alignment horizontal="left"/>
    </xf>
    <xf numFmtId="164" fontId="2" fillId="6" borderId="2" xfId="0" applyNumberFormat="1" applyFont="1" applyFill="1" applyBorder="1"/>
    <xf numFmtId="0" fontId="3" fillId="3" borderId="2" xfId="0" applyFont="1" applyFill="1" applyBorder="1" applyAlignment="1">
      <alignment horizontal="left"/>
    </xf>
    <xf numFmtId="164" fontId="3" fillId="3" borderId="2" xfId="0" applyNumberFormat="1" applyFont="1" applyFill="1" applyBorder="1"/>
    <xf numFmtId="0" fontId="3" fillId="7" borderId="2" xfId="0" applyFont="1" applyFill="1" applyBorder="1" applyAlignment="1">
      <alignment horizontal="left"/>
    </xf>
    <xf numFmtId="164" fontId="3" fillId="7" borderId="2" xfId="0" applyNumberFormat="1" applyFont="1" applyFill="1" applyBorder="1"/>
  </cellXfs>
  <cellStyles count="3">
    <cellStyle name="20% - Accent1" xfId="2" builtinId="30"/>
    <cellStyle name="Normal" xfId="0" builtinId="0"/>
    <cellStyle name="Percent" xfId="1" builtinId="5"/>
  </cellStyles>
  <dxfs count="4">
    <dxf>
      <numFmt numFmtId="164" formatCode="_-* #,##0_-;\-* #,##0_-;_-* &quot;-&quot;??_-;_-@_-"/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 tint="0.79998168889431442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7A6B69-668A-4FBF-A888-D5942579DB02}" name="Table4" displayName="Table4" ref="U2:V7" totalsRowShown="0" headerRowDxfId="3" headerRowBorderDxfId="2">
  <autoFilter ref="U2:V7" xr:uid="{1E27886D-9D9A-4808-90C9-46F86DDA05FF}">
    <filterColumn colId="0" hiddenButton="1"/>
    <filterColumn colId="1" hiddenButton="1"/>
  </autoFilter>
  <tableColumns count="2">
    <tableColumn id="1" xr3:uid="{E3BA348C-08F9-419B-B179-0560A8B11C62}" name="Time of Order" dataDxfId="1"/>
    <tableColumn id="2" xr3:uid="{DA261710-C3B4-47B0-BCEB-AE340EF24338}" name="Time Allocation" dataDxfId="0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06E89-4FB1-46BF-B59A-BF5DB3ED1785}">
  <sheetPr>
    <tabColor theme="7" tint="0.79998168889431442"/>
  </sheetPr>
  <dimension ref="A1:AA10"/>
  <sheetViews>
    <sheetView showGridLines="0" tabSelected="1" zoomScale="80" zoomScaleNormal="80" workbookViewId="0">
      <selection activeCell="L17" sqref="L17"/>
    </sheetView>
  </sheetViews>
  <sheetFormatPr defaultRowHeight="15" x14ac:dyDescent="0.25"/>
  <cols>
    <col min="1" max="1" width="15.7109375" customWidth="1"/>
    <col min="2" max="2" width="9.28515625" customWidth="1"/>
    <col min="3" max="5" width="15.7109375" customWidth="1"/>
    <col min="7" max="7" width="12.7109375" customWidth="1"/>
    <col min="15" max="15" width="10.85546875" customWidth="1"/>
    <col min="17" max="17" width="20.5703125" customWidth="1"/>
    <col min="18" max="18" width="20.7109375" customWidth="1"/>
    <col min="19" max="19" width="14.28515625" customWidth="1"/>
    <col min="21" max="21" width="16.7109375" customWidth="1"/>
    <col min="22" max="22" width="15.7109375" customWidth="1"/>
    <col min="24" max="24" width="21.5703125" customWidth="1"/>
    <col min="25" max="25" width="8.7109375" customWidth="1"/>
    <col min="26" max="26" width="12.42578125" bestFit="1" customWidth="1"/>
    <col min="27" max="27" width="15.140625" bestFit="1" customWidth="1"/>
  </cols>
  <sheetData>
    <row r="1" spans="1: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2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2" t="s">
        <v>4</v>
      </c>
    </row>
    <row r="2" spans="1:27" x14ac:dyDescent="0.25">
      <c r="A2" s="4" t="s">
        <v>13</v>
      </c>
      <c r="B2" s="5">
        <v>41834.699999999873</v>
      </c>
      <c r="C2" s="5">
        <v>55036.659999999516</v>
      </c>
      <c r="D2" s="5">
        <v>71255.249999999694</v>
      </c>
      <c r="E2" s="5">
        <v>168126.60999999908</v>
      </c>
      <c r="G2" s="6" t="s">
        <v>14</v>
      </c>
      <c r="H2" s="7">
        <v>13238.680000000029</v>
      </c>
      <c r="I2" s="7">
        <v>13739.530000000055</v>
      </c>
      <c r="J2" s="7">
        <v>10358.360000000021</v>
      </c>
      <c r="K2" s="7">
        <v>10523.260000000024</v>
      </c>
      <c r="L2" s="7">
        <v>10653.280000000024</v>
      </c>
      <c r="M2" s="7">
        <v>10422.110000000026</v>
      </c>
      <c r="N2" s="7">
        <v>12742.520000000055</v>
      </c>
      <c r="O2" s="7">
        <v>81677.740000000253</v>
      </c>
      <c r="Q2" s="2" t="s">
        <v>15</v>
      </c>
      <c r="R2" s="8" t="s">
        <v>16</v>
      </c>
      <c r="S2" s="8" t="s">
        <v>17</v>
      </c>
      <c r="U2" s="9" t="s">
        <v>18</v>
      </c>
      <c r="V2" s="9" t="s">
        <v>19</v>
      </c>
      <c r="X2" s="2" t="s">
        <v>20</v>
      </c>
      <c r="Y2" s="2" t="s">
        <v>1</v>
      </c>
      <c r="Z2" s="2" t="s">
        <v>2</v>
      </c>
      <c r="AA2" s="2" t="s">
        <v>3</v>
      </c>
    </row>
    <row r="3" spans="1:27" x14ac:dyDescent="0.25">
      <c r="A3" s="4" t="s">
        <v>21</v>
      </c>
      <c r="B3" s="5">
        <v>63107.819999999178</v>
      </c>
      <c r="C3" s="5">
        <v>84406.640000000101</v>
      </c>
      <c r="D3" s="5">
        <v>72647.60000000002</v>
      </c>
      <c r="E3" s="5">
        <v>220162.0599999993</v>
      </c>
      <c r="G3" s="6" t="s">
        <v>22</v>
      </c>
      <c r="H3" s="7">
        <v>11092.510000000029</v>
      </c>
      <c r="I3" s="7">
        <v>10203.110000000022</v>
      </c>
      <c r="J3" s="7">
        <v>11085.480000000025</v>
      </c>
      <c r="K3" s="7">
        <v>10887.070000000011</v>
      </c>
      <c r="L3" s="7">
        <v>10734.50000000002</v>
      </c>
      <c r="M3" s="7">
        <v>10767.470000000021</v>
      </c>
      <c r="N3" s="7">
        <v>11375.050000000041</v>
      </c>
      <c r="O3" s="7">
        <v>76145.190000000177</v>
      </c>
      <c r="Q3" s="4" t="s">
        <v>1</v>
      </c>
      <c r="R3" s="5">
        <v>232243.91000000975</v>
      </c>
      <c r="S3" s="10">
        <f>R3/$R$6</f>
        <v>0.33234088757420865</v>
      </c>
      <c r="U3" s="4" t="s">
        <v>13</v>
      </c>
      <c r="V3" s="11" t="s">
        <v>23</v>
      </c>
      <c r="X3" s="4" t="s">
        <v>24</v>
      </c>
      <c r="Y3" s="5">
        <v>232243.91000000975</v>
      </c>
      <c r="Z3" s="5">
        <v>232911.17000000941</v>
      </c>
      <c r="AA3" s="5">
        <v>229729.25000000745</v>
      </c>
    </row>
    <row r="4" spans="1:27" x14ac:dyDescent="0.25">
      <c r="A4" s="4" t="s">
        <v>25</v>
      </c>
      <c r="B4" s="5">
        <v>62456.289999999222</v>
      </c>
      <c r="C4" s="5">
        <v>47021.949999999633</v>
      </c>
      <c r="D4" s="5">
        <v>54119.839999999676</v>
      </c>
      <c r="E4" s="5">
        <v>163598.07999999853</v>
      </c>
      <c r="G4" s="6" t="s">
        <v>26</v>
      </c>
      <c r="H4" s="7">
        <v>13182.330000000031</v>
      </c>
      <c r="I4" s="7">
        <v>12118.510000000042</v>
      </c>
      <c r="J4" s="7">
        <v>15677.650000000049</v>
      </c>
      <c r="K4" s="7">
        <v>16136.080000000047</v>
      </c>
      <c r="L4" s="7">
        <v>16252.760000000077</v>
      </c>
      <c r="M4" s="7">
        <v>12782.860000000017</v>
      </c>
      <c r="N4" s="7">
        <v>12684.490000000051</v>
      </c>
      <c r="O4" s="7">
        <v>98834.680000000313</v>
      </c>
      <c r="Q4" s="4" t="s">
        <v>2</v>
      </c>
      <c r="R4" s="5">
        <v>236511.17000000973</v>
      </c>
      <c r="S4" s="10">
        <f t="shared" ref="S4:S5" si="0">R4/$R$6</f>
        <v>0.33844733392154169</v>
      </c>
      <c r="U4" s="4" t="s">
        <v>21</v>
      </c>
      <c r="V4" s="11" t="s">
        <v>27</v>
      </c>
      <c r="X4" s="4" t="s">
        <v>28</v>
      </c>
      <c r="Y4" s="5"/>
      <c r="Z4" s="5"/>
      <c r="AA4" s="5">
        <v>328</v>
      </c>
    </row>
    <row r="5" spans="1:27" x14ac:dyDescent="0.25">
      <c r="A5" s="4" t="s">
        <v>29</v>
      </c>
      <c r="B5" s="5">
        <v>31950.150000000092</v>
      </c>
      <c r="C5" s="5">
        <v>24779.980000000043</v>
      </c>
      <c r="D5" s="5">
        <v>24526.929999999968</v>
      </c>
      <c r="E5" s="5">
        <v>81257.0600000001</v>
      </c>
      <c r="G5" s="6" t="s">
        <v>30</v>
      </c>
      <c r="H5" s="7">
        <v>16422.800000000039</v>
      </c>
      <c r="I5" s="7">
        <v>15789.230000000045</v>
      </c>
      <c r="J5" s="7">
        <v>16470.640000000054</v>
      </c>
      <c r="K5" s="7">
        <v>15716.610000000041</v>
      </c>
      <c r="L5" s="7">
        <v>15193.230000000041</v>
      </c>
      <c r="M5" s="7">
        <v>19309.830000000082</v>
      </c>
      <c r="N5" s="7">
        <v>20038.740000000042</v>
      </c>
      <c r="O5" s="7">
        <v>118941.08000000037</v>
      </c>
      <c r="Q5" s="4" t="s">
        <v>3</v>
      </c>
      <c r="R5" s="5">
        <v>230057.25000000748</v>
      </c>
      <c r="S5" s="10">
        <f t="shared" si="0"/>
        <v>0.32921177850424965</v>
      </c>
      <c r="U5" s="4" t="s">
        <v>25</v>
      </c>
      <c r="V5" s="11" t="s">
        <v>31</v>
      </c>
      <c r="X5" s="4" t="s">
        <v>32</v>
      </c>
      <c r="Y5" s="5"/>
      <c r="Z5" s="5">
        <v>3600</v>
      </c>
      <c r="AA5" s="5"/>
    </row>
    <row r="6" spans="1:27" x14ac:dyDescent="0.25">
      <c r="A6" s="4" t="s">
        <v>33</v>
      </c>
      <c r="B6" s="5">
        <v>32894.95000000015</v>
      </c>
      <c r="C6" s="5">
        <v>25265.939999999995</v>
      </c>
      <c r="D6" s="5">
        <v>7507.6300000000028</v>
      </c>
      <c r="E6" s="5">
        <v>65668.52000000015</v>
      </c>
      <c r="G6" s="6" t="s">
        <v>34</v>
      </c>
      <c r="H6" s="7">
        <v>25221.300000000036</v>
      </c>
      <c r="I6" s="7">
        <v>25346.99000000002</v>
      </c>
      <c r="J6" s="7">
        <v>25464.509999999966</v>
      </c>
      <c r="K6" s="7">
        <v>20254.080000000034</v>
      </c>
      <c r="L6" s="7">
        <v>20340.96</v>
      </c>
      <c r="M6" s="7">
        <v>20795.109999999975</v>
      </c>
      <c r="N6" s="7">
        <v>19304.810000000056</v>
      </c>
      <c r="O6" s="7">
        <v>156727.7600000001</v>
      </c>
      <c r="Q6" s="12" t="s">
        <v>4</v>
      </c>
      <c r="R6" s="13">
        <v>698812.33000002697</v>
      </c>
      <c r="S6" s="14">
        <f>SUM(S3:S5)</f>
        <v>1</v>
      </c>
      <c r="U6" s="4" t="s">
        <v>29</v>
      </c>
      <c r="V6" s="11" t="s">
        <v>35</v>
      </c>
      <c r="X6" s="15" t="s">
        <v>4</v>
      </c>
      <c r="Y6" s="16">
        <v>232243.91000000975</v>
      </c>
      <c r="Z6" s="16">
        <v>236511.17000000941</v>
      </c>
      <c r="AA6" s="16">
        <v>230057.25000000745</v>
      </c>
    </row>
    <row r="7" spans="1:27" x14ac:dyDescent="0.25">
      <c r="A7" s="17" t="s">
        <v>4</v>
      </c>
      <c r="B7" s="18">
        <v>232243.90999999852</v>
      </c>
      <c r="C7" s="18">
        <v>236511.16999999929</v>
      </c>
      <c r="D7" s="18">
        <v>230057.24999999936</v>
      </c>
      <c r="E7" s="18">
        <v>698812.32999999716</v>
      </c>
      <c r="G7" s="6" t="s">
        <v>36</v>
      </c>
      <c r="H7" s="7">
        <v>22519.660000000022</v>
      </c>
      <c r="I7" s="7">
        <v>22258.569999999967</v>
      </c>
      <c r="J7" s="7">
        <v>21256.900000000052</v>
      </c>
      <c r="K7" s="7">
        <v>27250.680000000037</v>
      </c>
      <c r="L7" s="7">
        <v>28198.269999999928</v>
      </c>
      <c r="M7" s="7">
        <v>22817.100000000009</v>
      </c>
      <c r="N7" s="7">
        <v>22184.700000000055</v>
      </c>
      <c r="O7" s="7">
        <v>166485.88000000006</v>
      </c>
      <c r="U7" s="4" t="s">
        <v>33</v>
      </c>
      <c r="V7" s="11" t="s">
        <v>37</v>
      </c>
    </row>
    <row r="8" spans="1:27" x14ac:dyDescent="0.25">
      <c r="G8" s="12" t="s">
        <v>4</v>
      </c>
      <c r="H8" s="13">
        <v>101677.28000000019</v>
      </c>
      <c r="I8" s="13">
        <v>99455.940000000162</v>
      </c>
      <c r="J8" s="13">
        <v>100313.54000000017</v>
      </c>
      <c r="K8" s="13">
        <v>100767.78000000019</v>
      </c>
      <c r="L8" s="13">
        <v>101373.00000000009</v>
      </c>
      <c r="M8" s="13">
        <v>96894.480000000127</v>
      </c>
      <c r="N8" s="13">
        <v>98330.310000000303</v>
      </c>
      <c r="O8" s="13">
        <v>698812.33000000124</v>
      </c>
    </row>
    <row r="9" spans="1:27" x14ac:dyDescent="0.25">
      <c r="A9" s="2" t="s">
        <v>0</v>
      </c>
      <c r="B9" s="2" t="s">
        <v>1</v>
      </c>
      <c r="C9" s="2" t="s">
        <v>2</v>
      </c>
      <c r="D9" s="2" t="s">
        <v>3</v>
      </c>
      <c r="E9" s="2" t="s">
        <v>4</v>
      </c>
    </row>
    <row r="10" spans="1:27" x14ac:dyDescent="0.25">
      <c r="A10" s="19" t="s">
        <v>4</v>
      </c>
      <c r="B10" s="20">
        <v>232243.90999999852</v>
      </c>
      <c r="C10" s="20">
        <v>236511.16999999929</v>
      </c>
      <c r="D10" s="20">
        <v>230057.24999999936</v>
      </c>
      <c r="E10" s="20">
        <v>698812.32999999716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Supporting_Tables</vt:lpstr>
    </vt:vector>
  </TitlesOfParts>
  <Company>Absa Bank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Prince Phele (ZA)</dc:creator>
  <cp:lastModifiedBy>Floyd Magaela</cp:lastModifiedBy>
  <dcterms:created xsi:type="dcterms:W3CDTF">2026-03-31T19:40:08Z</dcterms:created>
  <dcterms:modified xsi:type="dcterms:W3CDTF">2026-03-31T21:23:03Z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